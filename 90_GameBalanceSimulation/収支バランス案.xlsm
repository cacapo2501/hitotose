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ropbox\New Simutrans\"/>
    </mc:Choice>
  </mc:AlternateContent>
  <bookViews>
    <workbookView xWindow="0" yWindow="0" windowWidth="19200" windowHeight="9045" firstSheet="2" activeTab="2"/>
  </bookViews>
  <sheets>
    <sheet name="貨物基準" sheetId="1" r:id="rId1"/>
    <sheet name="旅客・郵便基準" sheetId="2" r:id="rId2"/>
    <sheet name="DarCreatorForVehicle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4" i="3" l="1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33" i="3"/>
  <c r="C10" i="2" l="1"/>
  <c r="C15" i="2"/>
  <c r="C16" i="2"/>
  <c r="C1" i="2"/>
  <c r="C14" i="2" l="1"/>
  <c r="F11" i="1"/>
  <c r="F10" i="1"/>
  <c r="B23" i="1"/>
  <c r="B25" i="1"/>
  <c r="B16" i="1"/>
  <c r="B14" i="1"/>
  <c r="B1" i="1"/>
  <c r="C8" i="1" s="1"/>
  <c r="C9" i="1" s="1"/>
  <c r="C13" i="1" l="1"/>
  <c r="C9" i="2"/>
  <c r="C16" i="1"/>
  <c r="C17" i="1" s="1"/>
  <c r="B28" i="1" s="1"/>
  <c r="C22" i="1"/>
  <c r="C18" i="1"/>
  <c r="C21" i="1"/>
  <c r="C20" i="1"/>
  <c r="C12" i="1"/>
  <c r="C10" i="1"/>
  <c r="C14" i="1"/>
  <c r="C11" i="1"/>
  <c r="C19" i="1" l="1"/>
  <c r="C13" i="2"/>
  <c r="B9" i="2"/>
  <c r="B10" i="2"/>
  <c r="C8" i="2"/>
  <c r="C23" i="1"/>
  <c r="B24" i="1" s="1"/>
  <c r="C12" i="2" l="1"/>
  <c r="B13" i="2"/>
  <c r="B14" i="2"/>
  <c r="C20" i="2"/>
  <c r="B8" i="2"/>
  <c r="C7" i="2" l="1"/>
  <c r="C19" i="2" s="1"/>
  <c r="B12" i="2"/>
</calcChain>
</file>

<file path=xl/sharedStrings.xml><?xml version="1.0" encoding="utf-8"?>
<sst xmlns="http://schemas.openxmlformats.org/spreadsheetml/2006/main" count="156" uniqueCount="90">
  <si>
    <t>単価</t>
    <rPh sb="0" eb="2">
      <t>タンカ</t>
    </rPh>
    <phoneticPr fontId="2"/>
  </si>
  <si>
    <t>月間費用</t>
    <rPh sb="0" eb="2">
      <t>ゲッカン</t>
    </rPh>
    <rPh sb="2" eb="4">
      <t>ヒヨウ</t>
    </rPh>
    <phoneticPr fontId="2"/>
  </si>
  <si>
    <t>インフラ維持費</t>
    <rPh sb="4" eb="7">
      <t>イジヒ</t>
    </rPh>
    <phoneticPr fontId="2"/>
  </si>
  <si>
    <t>駅維持費</t>
    <rPh sb="0" eb="1">
      <t>エキ</t>
    </rPh>
    <rPh sb="1" eb="4">
      <t>イジヒ</t>
    </rPh>
    <phoneticPr fontId="2"/>
  </si>
  <si>
    <t>線路維持費</t>
    <rPh sb="0" eb="2">
      <t>センロ</t>
    </rPh>
    <rPh sb="2" eb="5">
      <t>イジヒ</t>
    </rPh>
    <phoneticPr fontId="2"/>
  </si>
  <si>
    <t>車庫維持費</t>
    <rPh sb="0" eb="2">
      <t>シャコ</t>
    </rPh>
    <rPh sb="2" eb="5">
      <t>イジヒ</t>
    </rPh>
    <phoneticPr fontId="2"/>
  </si>
  <si>
    <t>信号維持費</t>
    <rPh sb="0" eb="2">
      <t>シンゴウ</t>
    </rPh>
    <rPh sb="2" eb="5">
      <t>イジヒ</t>
    </rPh>
    <phoneticPr fontId="2"/>
  </si>
  <si>
    <t>積載量</t>
    <rPh sb="0" eb="3">
      <t>セキサイリョウ</t>
    </rPh>
    <phoneticPr fontId="2"/>
  </si>
  <si>
    <t>移動距離</t>
    <rPh sb="0" eb="2">
      <t>イドウ</t>
    </rPh>
    <rPh sb="2" eb="4">
      <t>キョリ</t>
    </rPh>
    <phoneticPr fontId="2"/>
  </si>
  <si>
    <t>収入</t>
    <rPh sb="0" eb="2">
      <t>シュウニュウ</t>
    </rPh>
    <phoneticPr fontId="2"/>
  </si>
  <si>
    <t>月生産量</t>
    <rPh sb="0" eb="1">
      <t>ツキ</t>
    </rPh>
    <rPh sb="1" eb="3">
      <t>セイサン</t>
    </rPh>
    <rPh sb="3" eb="4">
      <t>リョウ</t>
    </rPh>
    <phoneticPr fontId="2"/>
  </si>
  <si>
    <t>輸送距離</t>
    <rPh sb="0" eb="2">
      <t>ユソウ</t>
    </rPh>
    <rPh sb="2" eb="4">
      <t>キョリ</t>
    </rPh>
    <phoneticPr fontId="2"/>
  </si>
  <si>
    <t>km</t>
    <phoneticPr fontId="2"/>
  </si>
  <si>
    <t>cr</t>
    <phoneticPr fontId="2"/>
  </si>
  <si>
    <t>months</t>
    <phoneticPr fontId="2"/>
  </si>
  <si>
    <t>回収期間</t>
    <rPh sb="0" eb="2">
      <t>カイシュウ</t>
    </rPh>
    <rPh sb="2" eb="4">
      <t>キカン</t>
    </rPh>
    <phoneticPr fontId="2"/>
  </si>
  <si>
    <t>units</t>
    <phoneticPr fontId="2"/>
  </si>
  <si>
    <t>支出</t>
    <rPh sb="0" eb="2">
      <t>シシュツ</t>
    </rPh>
    <phoneticPr fontId="2"/>
  </si>
  <si>
    <t>初期投資率</t>
    <rPh sb="0" eb="2">
      <t>ショキ</t>
    </rPh>
    <rPh sb="2" eb="4">
      <t>トウシ</t>
    </rPh>
    <rPh sb="4" eb="5">
      <t>リツ</t>
    </rPh>
    <phoneticPr fontId="2"/>
  </si>
  <si>
    <t>率</t>
    <rPh sb="0" eb="1">
      <t>リツ</t>
    </rPh>
    <phoneticPr fontId="2"/>
  </si>
  <si>
    <t>金額</t>
    <rPh sb="0" eb="2">
      <t>キンガク</t>
    </rPh>
    <phoneticPr fontId="2"/>
  </si>
  <si>
    <t>車両購入費</t>
    <rPh sb="0" eb="2">
      <t>シャリョウ</t>
    </rPh>
    <rPh sb="2" eb="5">
      <t>コウニュウヒ</t>
    </rPh>
    <phoneticPr fontId="2"/>
  </si>
  <si>
    <t>インフラ支出</t>
    <rPh sb="4" eb="6">
      <t>シシュツ</t>
    </rPh>
    <phoneticPr fontId="2"/>
  </si>
  <si>
    <t>線路敷設費</t>
    <rPh sb="0" eb="2">
      <t>センロ</t>
    </rPh>
    <rPh sb="2" eb="4">
      <t>フセツ</t>
    </rPh>
    <rPh sb="4" eb="5">
      <t>ヒ</t>
    </rPh>
    <phoneticPr fontId="2"/>
  </si>
  <si>
    <t>駅設置費</t>
    <rPh sb="0" eb="1">
      <t>エキ</t>
    </rPh>
    <rPh sb="1" eb="3">
      <t>セッチ</t>
    </rPh>
    <rPh sb="3" eb="4">
      <t>ヒ</t>
    </rPh>
    <phoneticPr fontId="2"/>
  </si>
  <si>
    <t>車庫設置費</t>
    <rPh sb="0" eb="2">
      <t>シャコ</t>
    </rPh>
    <rPh sb="2" eb="4">
      <t>セッチ</t>
    </rPh>
    <rPh sb="4" eb="5">
      <t>ヒ</t>
    </rPh>
    <phoneticPr fontId="2"/>
  </si>
  <si>
    <t>信号導入費</t>
    <rPh sb="0" eb="2">
      <t>シンゴウ</t>
    </rPh>
    <rPh sb="2" eb="4">
      <t>ドウニュウ</t>
    </rPh>
    <rPh sb="4" eb="5">
      <t>ヒ</t>
    </rPh>
    <phoneticPr fontId="2"/>
  </si>
  <si>
    <t>維持費率</t>
    <rPh sb="0" eb="3">
      <t>イジヒ</t>
    </rPh>
    <rPh sb="3" eb="4">
      <t>リツ</t>
    </rPh>
    <phoneticPr fontId="2"/>
  </si>
  <si>
    <t>cr</t>
    <phoneticPr fontId="2"/>
  </si>
  <si>
    <t>自由度</t>
    <rPh sb="0" eb="3">
      <t>ジユウド</t>
    </rPh>
    <phoneticPr fontId="2"/>
  </si>
  <si>
    <t>車両運行費</t>
    <rPh sb="0" eb="2">
      <t>シャリョウ</t>
    </rPh>
    <rPh sb="2" eb="4">
      <t>ウンコウ</t>
    </rPh>
    <rPh sb="4" eb="5">
      <t>ヒ</t>
    </rPh>
    <phoneticPr fontId="2"/>
  </si>
  <si>
    <t>タイルあたり運行費</t>
    <rPh sb="6" eb="8">
      <t>ウンコウ</t>
    </rPh>
    <rPh sb="8" eb="9">
      <t>ヒ</t>
    </rPh>
    <phoneticPr fontId="2"/>
  </si>
  <si>
    <t>導入数</t>
    <rPh sb="0" eb="2">
      <t>ドウニュウ</t>
    </rPh>
    <rPh sb="2" eb="3">
      <t>スウ</t>
    </rPh>
    <phoneticPr fontId="2"/>
  </si>
  <si>
    <t>収支（年間）</t>
    <rPh sb="0" eb="2">
      <t>シュウシ</t>
    </rPh>
    <rPh sb="3" eb="5">
      <t>ネンカン</t>
    </rPh>
    <phoneticPr fontId="2"/>
  </si>
  <si>
    <t>収入</t>
    <rPh sb="0" eb="2">
      <t>シュウニュウ</t>
    </rPh>
    <phoneticPr fontId="2"/>
  </si>
  <si>
    <t>単価</t>
    <rPh sb="0" eb="2">
      <t>タンカ</t>
    </rPh>
    <phoneticPr fontId="2"/>
  </si>
  <si>
    <t>月輸送量</t>
    <rPh sb="0" eb="1">
      <t>ツキ</t>
    </rPh>
    <rPh sb="1" eb="4">
      <t>ユソウリョウ</t>
    </rPh>
    <phoneticPr fontId="2"/>
  </si>
  <si>
    <t>距離</t>
    <rPh sb="0" eb="2">
      <t>キョリ</t>
    </rPh>
    <phoneticPr fontId="2"/>
  </si>
  <si>
    <t>Cr</t>
    <phoneticPr fontId="2"/>
  </si>
  <si>
    <t>Cr</t>
    <phoneticPr fontId="2"/>
  </si>
  <si>
    <t>名</t>
    <rPh sb="0" eb="1">
      <t>メイ</t>
    </rPh>
    <phoneticPr fontId="2"/>
  </si>
  <si>
    <t>km</t>
    <phoneticPr fontId="2"/>
  </si>
  <si>
    <t>回収期間</t>
    <rPh sb="0" eb="2">
      <t>カイシュウ</t>
    </rPh>
    <rPh sb="2" eb="4">
      <t>キカン</t>
    </rPh>
    <phoneticPr fontId="2"/>
  </si>
  <si>
    <t>月</t>
    <rPh sb="0" eb="1">
      <t>ツキ</t>
    </rPh>
    <phoneticPr fontId="2"/>
  </si>
  <si>
    <t>支出</t>
    <rPh sb="0" eb="2">
      <t>シシュツ</t>
    </rPh>
    <phoneticPr fontId="2"/>
  </si>
  <si>
    <t>初期費用</t>
    <rPh sb="0" eb="2">
      <t>ショキ</t>
    </rPh>
    <rPh sb="2" eb="4">
      <t>ヒヨウ</t>
    </rPh>
    <phoneticPr fontId="2"/>
  </si>
  <si>
    <t>Cr　(→貨物の値を参照)</t>
  </si>
  <si>
    <t>Cr　(→貨物の値を参照)</t>
    <rPh sb="5" eb="7">
      <t>カモツ</t>
    </rPh>
    <rPh sb="8" eb="9">
      <t>アタイ</t>
    </rPh>
    <rPh sb="10" eb="12">
      <t>サンショウ</t>
    </rPh>
    <phoneticPr fontId="2"/>
  </si>
  <si>
    <t>インフラ支出</t>
    <rPh sb="4" eb="6">
      <t>シシュツ</t>
    </rPh>
    <phoneticPr fontId="2"/>
  </si>
  <si>
    <t>車両購入費</t>
    <rPh sb="0" eb="2">
      <t>シャリョウ</t>
    </rPh>
    <rPh sb="2" eb="5">
      <t>コウニュウヒ</t>
    </rPh>
    <phoneticPr fontId="2"/>
  </si>
  <si>
    <t>Cr</t>
    <phoneticPr fontId="2"/>
  </si>
  <si>
    <t>維持費</t>
    <rPh sb="0" eb="3">
      <t>イジヒ</t>
    </rPh>
    <phoneticPr fontId="2"/>
  </si>
  <si>
    <t>インフラ維持費</t>
    <rPh sb="4" eb="7">
      <t>イジヒ</t>
    </rPh>
    <phoneticPr fontId="2"/>
  </si>
  <si>
    <t>車両維持費</t>
    <rPh sb="0" eb="2">
      <t>シャリョウ</t>
    </rPh>
    <rPh sb="2" eb="5">
      <t>イジヒ</t>
    </rPh>
    <phoneticPr fontId="2"/>
  </si>
  <si>
    <t>積載量</t>
    <rPh sb="0" eb="3">
      <t>セキサイリョウ</t>
    </rPh>
    <phoneticPr fontId="2"/>
  </si>
  <si>
    <t>移動距離</t>
    <rPh sb="0" eb="2">
      <t>イドウ</t>
    </rPh>
    <rPh sb="2" eb="4">
      <t>キョリ</t>
    </rPh>
    <phoneticPr fontId="2"/>
  </si>
  <si>
    <t>タイルあたり維持費</t>
    <rPh sb="6" eb="9">
      <t>イジヒ</t>
    </rPh>
    <phoneticPr fontId="2"/>
  </si>
  <si>
    <t>km</t>
    <phoneticPr fontId="2"/>
  </si>
  <si>
    <t>購入定数→</t>
    <rPh sb="0" eb="2">
      <t>コウニュウ</t>
    </rPh>
    <rPh sb="2" eb="4">
      <t>テイスウ</t>
    </rPh>
    <phoneticPr fontId="2"/>
  </si>
  <si>
    <t>維持定数→</t>
    <rPh sb="0" eb="2">
      <t>イジ</t>
    </rPh>
    <rPh sb="2" eb="4">
      <t>テイスウ</t>
    </rPh>
    <phoneticPr fontId="2"/>
  </si>
  <si>
    <t>導入数→</t>
    <rPh sb="0" eb="2">
      <t>ドウニュウ</t>
    </rPh>
    <rPh sb="2" eb="3">
      <t>スウ</t>
    </rPh>
    <phoneticPr fontId="2"/>
  </si>
  <si>
    <t>収支(5年間）</t>
    <rPh sb="0" eb="2">
      <t>シュウシ</t>
    </rPh>
    <rPh sb="4" eb="6">
      <t>ネンカン</t>
    </rPh>
    <phoneticPr fontId="2"/>
  </si>
  <si>
    <t>年間収支</t>
    <rPh sb="0" eb="2">
      <t>ネンカン</t>
    </rPh>
    <rPh sb="2" eb="4">
      <t>シュウシ</t>
    </rPh>
    <phoneticPr fontId="2"/>
  </si>
  <si>
    <t>DatCreator</t>
    <phoneticPr fontId="2"/>
  </si>
  <si>
    <t>運行会社</t>
    <rPh sb="0" eb="2">
      <t>ウンコウ</t>
    </rPh>
    <rPh sb="2" eb="4">
      <t>ガイシャ</t>
    </rPh>
    <phoneticPr fontId="2"/>
  </si>
  <si>
    <t>系列名</t>
    <rPh sb="0" eb="2">
      <t>ケイレツ</t>
    </rPh>
    <rPh sb="2" eb="3">
      <t>メイ</t>
    </rPh>
    <phoneticPr fontId="2"/>
  </si>
  <si>
    <t>軌道種別</t>
    <rPh sb="0" eb="2">
      <t>キドウ</t>
    </rPh>
    <rPh sb="2" eb="4">
      <t>シュベツ</t>
    </rPh>
    <phoneticPr fontId="2"/>
  </si>
  <si>
    <t>最高速度</t>
    <rPh sb="0" eb="2">
      <t>サイコウ</t>
    </rPh>
    <rPh sb="2" eb="4">
      <t>ソクド</t>
    </rPh>
    <phoneticPr fontId="2"/>
  </si>
  <si>
    <t>登場年月</t>
    <rPh sb="0" eb="2">
      <t>トウジョウ</t>
    </rPh>
    <rPh sb="2" eb="4">
      <t>ネンゲツ</t>
    </rPh>
    <phoneticPr fontId="2"/>
  </si>
  <si>
    <t>引退年月</t>
    <rPh sb="0" eb="2">
      <t>インタイ</t>
    </rPh>
    <rPh sb="2" eb="4">
      <t>ネンゲツ</t>
    </rPh>
    <phoneticPr fontId="2"/>
  </si>
  <si>
    <t>年</t>
    <rPh sb="0" eb="1">
      <t>ネン</t>
    </rPh>
    <phoneticPr fontId="2"/>
  </si>
  <si>
    <t>動力種別</t>
    <rPh sb="0" eb="2">
      <t>ドウリョク</t>
    </rPh>
    <rPh sb="2" eb="4">
      <t>シュベツ</t>
    </rPh>
    <phoneticPr fontId="2"/>
  </si>
  <si>
    <t>共通項目</t>
    <rPh sb="0" eb="2">
      <t>キョウツウ</t>
    </rPh>
    <rPh sb="2" eb="4">
      <t>コウモク</t>
    </rPh>
    <phoneticPr fontId="2"/>
  </si>
  <si>
    <t>固有項目</t>
    <rPh sb="0" eb="2">
      <t>コユウ</t>
    </rPh>
    <rPh sb="2" eb="4">
      <t>コウモク</t>
    </rPh>
    <phoneticPr fontId="2"/>
  </si>
  <si>
    <t>出力</t>
    <rPh sb="0" eb="2">
      <t>シュツリョク</t>
    </rPh>
    <phoneticPr fontId="2"/>
  </si>
  <si>
    <t>単位</t>
    <rPh sb="0" eb="2">
      <t>タンイ</t>
    </rPh>
    <phoneticPr fontId="2"/>
  </si>
  <si>
    <t>貨物種別
（datに記述する名称を入力）</t>
    <rPh sb="0" eb="2">
      <t>カモツ</t>
    </rPh>
    <rPh sb="2" eb="4">
      <t>シュベツ</t>
    </rPh>
    <rPh sb="10" eb="12">
      <t>キジュツ</t>
    </rPh>
    <rPh sb="14" eb="16">
      <t>メイショウ</t>
    </rPh>
    <rPh sb="17" eb="19">
      <t>ニュウリョク</t>
    </rPh>
    <phoneticPr fontId="2"/>
  </si>
  <si>
    <t>ギア比x100</t>
    <rPh sb="2" eb="3">
      <t>ヒ</t>
    </rPh>
    <phoneticPr fontId="2"/>
  </si>
  <si>
    <t>サウンド（空欄で設定しない）</t>
    <rPh sb="5" eb="7">
      <t>クウラン</t>
    </rPh>
    <rPh sb="8" eb="10">
      <t>セッテイ</t>
    </rPh>
    <phoneticPr fontId="2"/>
  </si>
  <si>
    <t>排煙(空欄で設定しない)</t>
    <rPh sb="0" eb="2">
      <t>ハイエン</t>
    </rPh>
    <rPh sb="3" eb="5">
      <t>クウラン</t>
    </rPh>
    <rPh sb="6" eb="8">
      <t>セッテイ</t>
    </rPh>
    <phoneticPr fontId="2"/>
  </si>
  <si>
    <t>画像名</t>
    <rPh sb="0" eb="2">
      <t>ガゾウ</t>
    </rPh>
    <rPh sb="2" eb="3">
      <t>メイ</t>
    </rPh>
    <phoneticPr fontId="2"/>
  </si>
  <si>
    <t>空荷状態画像行</t>
    <rPh sb="0" eb="1">
      <t>カラ</t>
    </rPh>
    <rPh sb="1" eb="2">
      <t>ニ</t>
    </rPh>
    <rPh sb="2" eb="4">
      <t>ジョウタイ</t>
    </rPh>
    <rPh sb="4" eb="6">
      <t>ガゾウ</t>
    </rPh>
    <rPh sb="6" eb="7">
      <t>ギョウ</t>
    </rPh>
    <phoneticPr fontId="2"/>
  </si>
  <si>
    <t>積載状態画像行</t>
    <rPh sb="0" eb="2">
      <t>セキサイ</t>
    </rPh>
    <rPh sb="2" eb="4">
      <t>ジョウタイ</t>
    </rPh>
    <rPh sb="4" eb="6">
      <t>ガゾウ</t>
    </rPh>
    <rPh sb="6" eb="7">
      <t>ギョウ</t>
    </rPh>
    <phoneticPr fontId="2"/>
  </si>
  <si>
    <t>連結制限</t>
    <rPh sb="0" eb="2">
      <t>レンケツ</t>
    </rPh>
    <rPh sb="2" eb="4">
      <t>セイゲン</t>
    </rPh>
    <phoneticPr fontId="2"/>
  </si>
  <si>
    <t>形式名</t>
    <rPh sb="0" eb="2">
      <t>ケイシキ</t>
    </rPh>
    <rPh sb="2" eb="3">
      <t>メイ</t>
    </rPh>
    <phoneticPr fontId="2"/>
  </si>
  <si>
    <t>前</t>
    <rPh sb="0" eb="1">
      <t>マエ</t>
    </rPh>
    <phoneticPr fontId="2"/>
  </si>
  <si>
    <t>後</t>
    <rPh sb="0" eb="1">
      <t>アト</t>
    </rPh>
    <phoneticPr fontId="2"/>
  </si>
  <si>
    <t>制限なし</t>
    <rPh sb="0" eb="2">
      <t>セイゲン</t>
    </rPh>
    <phoneticPr fontId="2"/>
  </si>
  <si>
    <t>連結しない</t>
    <rPh sb="0" eb="2">
      <t>レンケツ</t>
    </rPh>
    <phoneticPr fontId="2"/>
  </si>
  <si>
    <t>車両長</t>
    <rPh sb="0" eb="2">
      <t>シャリョウ</t>
    </rPh>
    <rPh sb="2" eb="3">
      <t>チョウ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</si>
</sst>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2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2" borderId="0" xfId="0" applyFill="1">
      <alignment vertical="center"/>
    </xf>
    <xf numFmtId="9" fontId="0" fillId="2" borderId="0" xfId="0" applyNumberFormat="1" applyFill="1">
      <alignment vertical="center"/>
    </xf>
    <xf numFmtId="2" fontId="0" fillId="2" borderId="0" xfId="0" applyNumberFormat="1" applyFill="1">
      <alignment vertical="center"/>
    </xf>
    <xf numFmtId="0" fontId="0" fillId="3" borderId="0" xfId="0" applyFill="1">
      <alignment vertical="center"/>
    </xf>
    <xf numFmtId="9" fontId="0" fillId="3" borderId="0" xfId="0" applyNumberFormat="1" applyFill="1">
      <alignment vertical="center"/>
    </xf>
    <xf numFmtId="2" fontId="0" fillId="3" borderId="0" xfId="0" applyNumberFormat="1" applyFill="1">
      <alignment vertical="center"/>
    </xf>
    <xf numFmtId="0" fontId="0" fillId="4" borderId="0" xfId="0" applyFill="1">
      <alignment vertical="center"/>
    </xf>
    <xf numFmtId="2" fontId="0" fillId="4" borderId="0" xfId="0" applyNumberFormat="1" applyFill="1">
      <alignment vertical="center"/>
    </xf>
    <xf numFmtId="0" fontId="0" fillId="5" borderId="0" xfId="0" applyFill="1">
      <alignment vertical="center"/>
    </xf>
    <xf numFmtId="9" fontId="0" fillId="5" borderId="0" xfId="0" applyNumberFormat="1" applyFill="1">
      <alignment vertical="center"/>
    </xf>
    <xf numFmtId="2" fontId="0" fillId="5" borderId="0" xfId="0" applyNumberFormat="1" applyFill="1">
      <alignment vertical="center"/>
    </xf>
    <xf numFmtId="0" fontId="0" fillId="6" borderId="0" xfId="0" applyFill="1">
      <alignment vertical="center"/>
    </xf>
    <xf numFmtId="2" fontId="0" fillId="6" borderId="0" xfId="0" applyNumberFormat="1" applyFill="1">
      <alignment vertical="center"/>
    </xf>
    <xf numFmtId="0" fontId="0" fillId="7" borderId="0" xfId="0" applyFill="1">
      <alignment vertical="center"/>
    </xf>
    <xf numFmtId="2" fontId="0" fillId="7" borderId="0" xfId="0" applyNumberFormat="1" applyFill="1">
      <alignment vertical="center"/>
    </xf>
    <xf numFmtId="0" fontId="1" fillId="8" borderId="0" xfId="0" applyFont="1" applyFill="1">
      <alignment vertical="center"/>
    </xf>
    <xf numFmtId="0" fontId="1" fillId="9" borderId="0" xfId="0" applyFont="1" applyFill="1">
      <alignment vertical="center"/>
    </xf>
    <xf numFmtId="0" fontId="0" fillId="10" borderId="0" xfId="0" applyFill="1">
      <alignment vertical="center"/>
    </xf>
    <xf numFmtId="2" fontId="0" fillId="10" borderId="0" xfId="0" applyNumberFormat="1" applyFill="1">
      <alignment vertical="center"/>
    </xf>
    <xf numFmtId="0" fontId="0" fillId="5" borderId="0" xfId="0" applyFill="1" applyAlignment="1">
      <alignment horizontal="right" vertical="center"/>
    </xf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vertical="center" textRotation="255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485775</xdr:colOff>
          <xdr:row>11</xdr:row>
          <xdr:rowOff>19050</xdr:rowOff>
        </xdr:from>
        <xdr:to>
          <xdr:col>4</xdr:col>
          <xdr:colOff>590550</xdr:colOff>
          <xdr:row>13</xdr:row>
          <xdr:rowOff>38100</xdr:rowOff>
        </xdr:to>
        <xdr:sp macro="" textlink="">
          <xdr:nvSpPr>
            <xdr:cNvPr id="1025" name="CommandButton2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8"/>
  <sheetViews>
    <sheetView workbookViewId="0">
      <selection activeCell="C10" sqref="C10"/>
    </sheetView>
  </sheetViews>
  <sheetFormatPr defaultRowHeight="13.5" x14ac:dyDescent="0.15"/>
  <cols>
    <col min="1" max="1" width="17.5" bestFit="1" customWidth="1"/>
    <col min="2" max="2" width="11" bestFit="1" customWidth="1"/>
    <col min="3" max="3" width="11" style="1" bestFit="1" customWidth="1"/>
    <col min="6" max="6" width="7.125" bestFit="1" customWidth="1"/>
  </cols>
  <sheetData>
    <row r="1" spans="1:6" x14ac:dyDescent="0.15">
      <c r="A1" s="15" t="s">
        <v>9</v>
      </c>
      <c r="B1" s="16">
        <f>B2*B3*B4*B5</f>
        <v>1440000</v>
      </c>
      <c r="C1" s="16" t="s">
        <v>13</v>
      </c>
      <c r="D1" s="15"/>
    </row>
    <row r="2" spans="1:6" x14ac:dyDescent="0.15">
      <c r="A2" s="17" t="s">
        <v>0</v>
      </c>
      <c r="B2" s="18">
        <v>0.5</v>
      </c>
      <c r="C2" s="18" t="s">
        <v>13</v>
      </c>
      <c r="D2" s="17"/>
    </row>
    <row r="3" spans="1:6" x14ac:dyDescent="0.15">
      <c r="A3" s="17" t="s">
        <v>10</v>
      </c>
      <c r="B3" s="19">
        <v>600</v>
      </c>
      <c r="C3" s="18" t="s">
        <v>16</v>
      </c>
      <c r="D3" s="17"/>
    </row>
    <row r="4" spans="1:6" x14ac:dyDescent="0.15">
      <c r="A4" s="17" t="s">
        <v>11</v>
      </c>
      <c r="B4" s="17">
        <v>80</v>
      </c>
      <c r="C4" s="18" t="s">
        <v>12</v>
      </c>
      <c r="D4" s="17"/>
    </row>
    <row r="5" spans="1:6" x14ac:dyDescent="0.15">
      <c r="A5" s="17" t="s">
        <v>15</v>
      </c>
      <c r="B5" s="17">
        <v>60</v>
      </c>
      <c r="C5" s="18" t="s">
        <v>14</v>
      </c>
      <c r="D5" s="17"/>
    </row>
    <row r="7" spans="1:6" x14ac:dyDescent="0.15">
      <c r="A7" s="4" t="s">
        <v>17</v>
      </c>
      <c r="B7" s="4" t="s">
        <v>19</v>
      </c>
      <c r="C7" s="6" t="s">
        <v>20</v>
      </c>
      <c r="D7" s="6"/>
      <c r="E7" t="s">
        <v>29</v>
      </c>
      <c r="F7" t="s">
        <v>32</v>
      </c>
    </row>
    <row r="8" spans="1:6" x14ac:dyDescent="0.15">
      <c r="A8" s="4" t="s">
        <v>18</v>
      </c>
      <c r="B8" s="5">
        <v>0.15</v>
      </c>
      <c r="C8" s="6">
        <f>B1*B8</f>
        <v>216000</v>
      </c>
      <c r="D8" s="6" t="s">
        <v>13</v>
      </c>
      <c r="E8" s="2"/>
    </row>
    <row r="9" spans="1:6" x14ac:dyDescent="0.15">
      <c r="A9" s="7" t="s">
        <v>22</v>
      </c>
      <c r="B9" s="8">
        <v>0.7</v>
      </c>
      <c r="C9" s="9">
        <f>C8*B9</f>
        <v>151200</v>
      </c>
      <c r="D9" s="9" t="s">
        <v>13</v>
      </c>
    </row>
    <row r="10" spans="1:6" x14ac:dyDescent="0.15">
      <c r="A10" s="12" t="s">
        <v>23</v>
      </c>
      <c r="B10" s="13">
        <v>0.3</v>
      </c>
      <c r="C10" s="14">
        <f>C9*B10/F10</f>
        <v>472.5</v>
      </c>
      <c r="D10" s="14" t="s">
        <v>13</v>
      </c>
      <c r="E10" s="2">
        <v>0.2</v>
      </c>
      <c r="F10" s="3">
        <f>B4*(1+E10)</f>
        <v>96</v>
      </c>
    </row>
    <row r="11" spans="1:6" x14ac:dyDescent="0.15">
      <c r="A11" s="12" t="s">
        <v>24</v>
      </c>
      <c r="B11" s="13">
        <v>0.2</v>
      </c>
      <c r="C11" s="14">
        <f>C9*B11/F11</f>
        <v>1800</v>
      </c>
      <c r="D11" s="14" t="s">
        <v>13</v>
      </c>
      <c r="E11" s="2">
        <v>0.2</v>
      </c>
      <c r="F11">
        <f>14*(1+E11)</f>
        <v>16.8</v>
      </c>
    </row>
    <row r="12" spans="1:6" x14ac:dyDescent="0.15">
      <c r="A12" s="12" t="s">
        <v>25</v>
      </c>
      <c r="B12" s="13">
        <v>0.45</v>
      </c>
      <c r="C12" s="14">
        <f>C9*B12/F12</f>
        <v>136080</v>
      </c>
      <c r="D12" s="14" t="s">
        <v>13</v>
      </c>
      <c r="E12" s="2">
        <v>0</v>
      </c>
      <c r="F12">
        <v>0.5</v>
      </c>
    </row>
    <row r="13" spans="1:6" x14ac:dyDescent="0.15">
      <c r="A13" s="12" t="s">
        <v>26</v>
      </c>
      <c r="B13" s="13">
        <v>0.05</v>
      </c>
      <c r="C13" s="14">
        <f>C9*B13/F13/(1+E13)</f>
        <v>1512</v>
      </c>
      <c r="D13" s="14" t="s">
        <v>13</v>
      </c>
      <c r="E13" s="2">
        <v>1.5</v>
      </c>
      <c r="F13">
        <v>2</v>
      </c>
    </row>
    <row r="14" spans="1:6" x14ac:dyDescent="0.15">
      <c r="A14" s="7" t="s">
        <v>21</v>
      </c>
      <c r="B14" s="8">
        <f>1-B9</f>
        <v>0.30000000000000004</v>
      </c>
      <c r="C14" s="9">
        <f>C8*B14/F14/(1+E14)</f>
        <v>24923.076923076926</v>
      </c>
      <c r="D14" s="9" t="s">
        <v>13</v>
      </c>
      <c r="E14" s="2">
        <v>0.3</v>
      </c>
      <c r="F14">
        <v>2</v>
      </c>
    </row>
    <row r="15" spans="1:6" x14ac:dyDescent="0.15">
      <c r="D15" s="1"/>
    </row>
    <row r="16" spans="1:6" x14ac:dyDescent="0.15">
      <c r="A16" s="4" t="s">
        <v>27</v>
      </c>
      <c r="B16" s="5">
        <f>1-B8</f>
        <v>0.85</v>
      </c>
      <c r="C16" s="6">
        <f>B1*B16</f>
        <v>1224000</v>
      </c>
      <c r="D16" s="6" t="s">
        <v>28</v>
      </c>
    </row>
    <row r="17" spans="1:4" x14ac:dyDescent="0.15">
      <c r="A17" s="4" t="s">
        <v>1</v>
      </c>
      <c r="B17" s="5"/>
      <c r="C17" s="6">
        <f>C16/B5</f>
        <v>20400</v>
      </c>
      <c r="D17" s="6" t="s">
        <v>13</v>
      </c>
    </row>
    <row r="18" spans="1:4" x14ac:dyDescent="0.15">
      <c r="A18" s="7" t="s">
        <v>2</v>
      </c>
      <c r="B18" s="8">
        <v>0.2</v>
      </c>
      <c r="C18" s="9">
        <f>C17*B18</f>
        <v>4080</v>
      </c>
      <c r="D18" s="9" t="s">
        <v>13</v>
      </c>
    </row>
    <row r="19" spans="1:4" x14ac:dyDescent="0.15">
      <c r="A19" s="12" t="s">
        <v>4</v>
      </c>
      <c r="B19" s="13">
        <v>0.4</v>
      </c>
      <c r="C19" s="14">
        <f>C18*B19/B4/(1+E10)</f>
        <v>17</v>
      </c>
      <c r="D19" s="14" t="s">
        <v>13</v>
      </c>
    </row>
    <row r="20" spans="1:4" x14ac:dyDescent="0.15">
      <c r="A20" s="12" t="s">
        <v>3</v>
      </c>
      <c r="B20" s="13">
        <v>0.45</v>
      </c>
      <c r="C20" s="14">
        <f>C17*B20/14/(1+E11)</f>
        <v>546.42857142857144</v>
      </c>
      <c r="D20" s="14" t="s">
        <v>13</v>
      </c>
    </row>
    <row r="21" spans="1:4" x14ac:dyDescent="0.15">
      <c r="A21" s="12" t="s">
        <v>5</v>
      </c>
      <c r="B21" s="13">
        <v>0.05</v>
      </c>
      <c r="C21" s="14">
        <f>C17*B21</f>
        <v>1020</v>
      </c>
      <c r="D21" s="14" t="s">
        <v>13</v>
      </c>
    </row>
    <row r="22" spans="1:4" x14ac:dyDescent="0.15">
      <c r="A22" s="12" t="s">
        <v>6</v>
      </c>
      <c r="B22" s="13">
        <v>0.1</v>
      </c>
      <c r="C22" s="14">
        <f>C17*B22/2/(1+E14)</f>
        <v>784.61538461538464</v>
      </c>
      <c r="D22" s="14" t="s">
        <v>13</v>
      </c>
    </row>
    <row r="23" spans="1:4" x14ac:dyDescent="0.15">
      <c r="A23" s="7" t="s">
        <v>30</v>
      </c>
      <c r="B23" s="8">
        <f>1-B18</f>
        <v>0.8</v>
      </c>
      <c r="C23" s="9">
        <f>C17*B23</f>
        <v>16320</v>
      </c>
      <c r="D23" s="9" t="s">
        <v>13</v>
      </c>
    </row>
    <row r="24" spans="1:4" x14ac:dyDescent="0.15">
      <c r="A24" s="12" t="s">
        <v>31</v>
      </c>
      <c r="B24" s="14">
        <f>C23/B25</f>
        <v>68</v>
      </c>
      <c r="C24" s="14" t="s">
        <v>13</v>
      </c>
      <c r="D24" s="14"/>
    </row>
    <row r="25" spans="1:4" x14ac:dyDescent="0.15">
      <c r="A25" s="12" t="s">
        <v>8</v>
      </c>
      <c r="B25" s="12">
        <f>B3/B26*2*B4</f>
        <v>240</v>
      </c>
      <c r="C25" s="14" t="s">
        <v>12</v>
      </c>
      <c r="D25" s="14"/>
    </row>
    <row r="26" spans="1:4" x14ac:dyDescent="0.15">
      <c r="A26" s="12" t="s">
        <v>7</v>
      </c>
      <c r="B26" s="20">
        <v>400</v>
      </c>
      <c r="C26" s="14" t="s">
        <v>16</v>
      </c>
      <c r="D26" s="14"/>
    </row>
    <row r="28" spans="1:4" x14ac:dyDescent="0.15">
      <c r="A28" s="10" t="s">
        <v>33</v>
      </c>
      <c r="B28" s="11">
        <f>B2*B3*B4*12-C17*12</f>
        <v>43200</v>
      </c>
      <c r="C28" s="11" t="s">
        <v>13</v>
      </c>
      <c r="D28" s="10"/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0"/>
  <sheetViews>
    <sheetView workbookViewId="0">
      <selection activeCell="F15" sqref="F15"/>
    </sheetView>
  </sheetViews>
  <sheetFormatPr defaultRowHeight="13.5" x14ac:dyDescent="0.15"/>
  <cols>
    <col min="1" max="1" width="17.5" bestFit="1" customWidth="1"/>
    <col min="2" max="2" width="9.875" bestFit="1" customWidth="1"/>
    <col min="3" max="3" width="11" bestFit="1" customWidth="1"/>
    <col min="5" max="5" width="11" bestFit="1" customWidth="1"/>
  </cols>
  <sheetData>
    <row r="1" spans="1:6" x14ac:dyDescent="0.15">
      <c r="A1" s="15" t="s">
        <v>34</v>
      </c>
      <c r="B1" s="15"/>
      <c r="C1" s="16">
        <f>C2*C3*C4*C5</f>
        <v>1440000</v>
      </c>
      <c r="D1" s="15" t="s">
        <v>38</v>
      </c>
    </row>
    <row r="2" spans="1:6" x14ac:dyDescent="0.15">
      <c r="A2" s="21" t="s">
        <v>35</v>
      </c>
      <c r="B2" s="21"/>
      <c r="C2" s="22">
        <v>0.2</v>
      </c>
      <c r="D2" s="21" t="s">
        <v>39</v>
      </c>
    </row>
    <row r="3" spans="1:6" x14ac:dyDescent="0.15">
      <c r="A3" s="21" t="s">
        <v>36</v>
      </c>
      <c r="B3" s="21"/>
      <c r="C3" s="19">
        <v>1500</v>
      </c>
      <c r="D3" s="21" t="s">
        <v>40</v>
      </c>
    </row>
    <row r="4" spans="1:6" x14ac:dyDescent="0.15">
      <c r="A4" s="21" t="s">
        <v>37</v>
      </c>
      <c r="B4" s="21"/>
      <c r="C4" s="21">
        <v>80</v>
      </c>
      <c r="D4" s="21" t="s">
        <v>41</v>
      </c>
    </row>
    <row r="5" spans="1:6" x14ac:dyDescent="0.15">
      <c r="A5" s="21" t="s">
        <v>42</v>
      </c>
      <c r="B5" s="21"/>
      <c r="C5" s="21">
        <v>60</v>
      </c>
      <c r="D5" s="21" t="s">
        <v>43</v>
      </c>
    </row>
    <row r="7" spans="1:6" x14ac:dyDescent="0.15">
      <c r="A7" s="4" t="s">
        <v>44</v>
      </c>
      <c r="B7" s="4"/>
      <c r="C7" s="6">
        <f>C8+C12</f>
        <v>1443000</v>
      </c>
      <c r="D7" s="4" t="s">
        <v>38</v>
      </c>
      <c r="E7" s="4"/>
      <c r="F7" s="4"/>
    </row>
    <row r="8" spans="1:6" x14ac:dyDescent="0.15">
      <c r="A8" s="7" t="s">
        <v>45</v>
      </c>
      <c r="B8" s="8">
        <f>C8/(C8+C12)</f>
        <v>0.15675675675675677</v>
      </c>
      <c r="C8" s="9">
        <f>SUM(C9:C10)</f>
        <v>226200</v>
      </c>
      <c r="D8" s="7" t="s">
        <v>50</v>
      </c>
      <c r="E8" s="7"/>
      <c r="F8" s="7"/>
    </row>
    <row r="9" spans="1:6" x14ac:dyDescent="0.15">
      <c r="A9" s="12" t="s">
        <v>48</v>
      </c>
      <c r="B9" s="13">
        <f>C9/(C9+C10)</f>
        <v>0.66843501326259946</v>
      </c>
      <c r="C9" s="14">
        <f>貨物基準!C9</f>
        <v>151200</v>
      </c>
      <c r="D9" s="12" t="s">
        <v>47</v>
      </c>
      <c r="E9" s="12"/>
      <c r="F9" s="12"/>
    </row>
    <row r="10" spans="1:6" x14ac:dyDescent="0.15">
      <c r="A10" s="12" t="s">
        <v>49</v>
      </c>
      <c r="B10" s="13">
        <f>C10/(C9+C10)</f>
        <v>0.33156498673740054</v>
      </c>
      <c r="C10" s="14">
        <f>C17*F10*F11</f>
        <v>75000</v>
      </c>
      <c r="D10" s="12" t="s">
        <v>50</v>
      </c>
      <c r="E10" s="23" t="s">
        <v>58</v>
      </c>
      <c r="F10" s="20">
        <v>150</v>
      </c>
    </row>
    <row r="11" spans="1:6" x14ac:dyDescent="0.15">
      <c r="A11" s="12"/>
      <c r="B11" s="12"/>
      <c r="C11" s="12"/>
      <c r="D11" s="12"/>
      <c r="E11" s="23" t="s">
        <v>60</v>
      </c>
      <c r="F11" s="20">
        <v>2</v>
      </c>
    </row>
    <row r="12" spans="1:6" x14ac:dyDescent="0.15">
      <c r="A12" s="7" t="s">
        <v>51</v>
      </c>
      <c r="B12" s="8">
        <f>C12/(C12+C8)</f>
        <v>0.84324324324324329</v>
      </c>
      <c r="C12" s="9">
        <f>C13*60+C14*60</f>
        <v>1216800</v>
      </c>
      <c r="D12" s="7" t="s">
        <v>50</v>
      </c>
      <c r="E12" s="7"/>
      <c r="F12" s="7"/>
    </row>
    <row r="13" spans="1:6" x14ac:dyDescent="0.15">
      <c r="A13" s="12" t="s">
        <v>52</v>
      </c>
      <c r="B13" s="13">
        <f>C13/(C13+C14)</f>
        <v>0.20118343195266272</v>
      </c>
      <c r="C13" s="14">
        <f>貨物基準!C18</f>
        <v>4080</v>
      </c>
      <c r="D13" s="12" t="s">
        <v>46</v>
      </c>
      <c r="E13" s="12"/>
      <c r="F13" s="12"/>
    </row>
    <row r="14" spans="1:6" x14ac:dyDescent="0.15">
      <c r="A14" s="12" t="s">
        <v>53</v>
      </c>
      <c r="B14" s="13">
        <f>C14/(C13+C14)</f>
        <v>0.79881656804733725</v>
      </c>
      <c r="C14" s="14">
        <f>C15*C16</f>
        <v>16200</v>
      </c>
      <c r="D14" s="12" t="s">
        <v>50</v>
      </c>
      <c r="E14" s="12"/>
      <c r="F14" s="12"/>
    </row>
    <row r="15" spans="1:6" x14ac:dyDescent="0.15">
      <c r="A15" s="12" t="s">
        <v>56</v>
      </c>
      <c r="B15" s="12"/>
      <c r="C15" s="14">
        <f>F15*C17</f>
        <v>67.5</v>
      </c>
      <c r="D15" s="12" t="s">
        <v>50</v>
      </c>
      <c r="E15" s="23" t="s">
        <v>59</v>
      </c>
      <c r="F15" s="20">
        <v>0.27</v>
      </c>
    </row>
    <row r="16" spans="1:6" x14ac:dyDescent="0.15">
      <c r="A16" s="12" t="s">
        <v>55</v>
      </c>
      <c r="B16" s="12"/>
      <c r="C16" s="12">
        <f>C3/C17/2*C4</f>
        <v>240</v>
      </c>
      <c r="D16" s="12" t="s">
        <v>57</v>
      </c>
      <c r="E16" s="12"/>
      <c r="F16" s="12"/>
    </row>
    <row r="17" spans="1:6" x14ac:dyDescent="0.15">
      <c r="A17" s="12" t="s">
        <v>54</v>
      </c>
      <c r="B17" s="12"/>
      <c r="C17" s="20">
        <v>250</v>
      </c>
      <c r="D17" s="12" t="s">
        <v>40</v>
      </c>
      <c r="E17" s="12"/>
      <c r="F17" s="12"/>
    </row>
    <row r="19" spans="1:6" x14ac:dyDescent="0.15">
      <c r="A19" s="10" t="s">
        <v>61</v>
      </c>
      <c r="B19" s="10"/>
      <c r="C19" s="11">
        <f>C1-C7</f>
        <v>-3000</v>
      </c>
      <c r="D19" s="10" t="s">
        <v>50</v>
      </c>
    </row>
    <row r="20" spans="1:6" x14ac:dyDescent="0.15">
      <c r="A20" s="10" t="s">
        <v>62</v>
      </c>
      <c r="B20" s="10"/>
      <c r="C20" s="11">
        <f>C2*C3*C4*12-C13*12-C14*12</f>
        <v>44640</v>
      </c>
      <c r="D20" s="10" t="s">
        <v>50</v>
      </c>
    </row>
  </sheetData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Z64"/>
  <sheetViews>
    <sheetView tabSelected="1" topLeftCell="D1" workbookViewId="0">
      <selection activeCell="E8" sqref="E8:E9"/>
    </sheetView>
  </sheetViews>
  <sheetFormatPr defaultRowHeight="13.5" x14ac:dyDescent="0.15"/>
  <cols>
    <col min="1" max="1" width="2.125" customWidth="1"/>
    <col min="2" max="2" width="9" bestFit="1" customWidth="1"/>
    <col min="4" max="4" width="3.375" bestFit="1" customWidth="1"/>
    <col min="6" max="6" width="3.375" bestFit="1" customWidth="1"/>
    <col min="8" max="8" width="3.375" customWidth="1"/>
    <col min="9" max="9" width="18.5" customWidth="1"/>
    <col min="10" max="10" width="3.375" bestFit="1" customWidth="1"/>
    <col min="11" max="26" width="11.875" customWidth="1"/>
  </cols>
  <sheetData>
    <row r="1" spans="1:26" x14ac:dyDescent="0.15">
      <c r="A1" t="s">
        <v>63</v>
      </c>
    </row>
    <row r="3" spans="1:26" x14ac:dyDescent="0.15">
      <c r="B3" t="s">
        <v>72</v>
      </c>
      <c r="C3" s="26"/>
      <c r="H3" t="s">
        <v>73</v>
      </c>
    </row>
    <row r="4" spans="1:26" x14ac:dyDescent="0.15">
      <c r="B4" t="s">
        <v>64</v>
      </c>
      <c r="C4" s="26"/>
      <c r="H4" s="25" t="s">
        <v>84</v>
      </c>
      <c r="I4" s="25"/>
      <c r="J4" s="25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ht="13.5" customHeight="1" x14ac:dyDescent="0.15">
      <c r="B5" t="s">
        <v>65</v>
      </c>
      <c r="C5" s="26"/>
      <c r="H5" s="27" t="s">
        <v>76</v>
      </c>
      <c r="I5" s="27"/>
      <c r="J5" s="27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spans="1:26" x14ac:dyDescent="0.15">
      <c r="B6" t="s">
        <v>66</v>
      </c>
      <c r="C6" s="26"/>
      <c r="H6" s="27"/>
      <c r="I6" s="27"/>
      <c r="J6" s="27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x14ac:dyDescent="0.15">
      <c r="B7" t="s">
        <v>67</v>
      </c>
      <c r="C7" s="26"/>
      <c r="H7" s="27"/>
      <c r="I7" s="27"/>
      <c r="J7" s="27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x14ac:dyDescent="0.15">
      <c r="B8" t="s">
        <v>68</v>
      </c>
      <c r="C8" s="26"/>
      <c r="D8" t="s">
        <v>70</v>
      </c>
      <c r="E8" s="26"/>
      <c r="F8" t="s">
        <v>43</v>
      </c>
      <c r="H8" s="27"/>
      <c r="I8" s="27"/>
      <c r="J8" s="27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x14ac:dyDescent="0.15">
      <c r="B9" t="s">
        <v>69</v>
      </c>
      <c r="C9" s="26"/>
      <c r="D9" t="s">
        <v>70</v>
      </c>
      <c r="E9" s="26"/>
      <c r="F9" t="s">
        <v>43</v>
      </c>
      <c r="H9" s="27"/>
      <c r="I9" s="27"/>
      <c r="J9" s="27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x14ac:dyDescent="0.15">
      <c r="B10" t="s">
        <v>71</v>
      </c>
      <c r="C10" s="26"/>
      <c r="H10" s="27"/>
      <c r="I10" s="27"/>
      <c r="J10" s="27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x14ac:dyDescent="0.15">
      <c r="H11" s="27"/>
      <c r="I11" s="27"/>
      <c r="J11" s="27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x14ac:dyDescent="0.15">
      <c r="H12" s="27"/>
      <c r="I12" s="27"/>
      <c r="J12" s="27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x14ac:dyDescent="0.15">
      <c r="H13" s="25" t="s">
        <v>74</v>
      </c>
      <c r="I13" s="25"/>
      <c r="J13" s="25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x14ac:dyDescent="0.15">
      <c r="H14" s="25" t="s">
        <v>75</v>
      </c>
      <c r="I14" s="25"/>
      <c r="J14" s="25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 x14ac:dyDescent="0.15">
      <c r="H15" s="25" t="s">
        <v>77</v>
      </c>
      <c r="I15" s="25"/>
      <c r="J15" s="25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x14ac:dyDescent="0.15">
      <c r="H16" s="25" t="s">
        <v>78</v>
      </c>
      <c r="I16" s="25"/>
      <c r="J16" s="25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8:26" x14ac:dyDescent="0.15">
      <c r="H17" s="25" t="s">
        <v>79</v>
      </c>
      <c r="I17" s="25"/>
      <c r="J17" s="25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8:26" s="24" customFormat="1" x14ac:dyDescent="0.15">
      <c r="H18" s="29" t="s">
        <v>89</v>
      </c>
      <c r="I18" s="30"/>
      <c r="J18" s="31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8:26" x14ac:dyDescent="0.15">
      <c r="H19" s="25" t="s">
        <v>80</v>
      </c>
      <c r="I19" s="25"/>
      <c r="J19" s="25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8:26" x14ac:dyDescent="0.15">
      <c r="H20" s="25" t="s">
        <v>81</v>
      </c>
      <c r="I20" s="25"/>
      <c r="J20" s="25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8:26" x14ac:dyDescent="0.15">
      <c r="H21" s="25" t="s">
        <v>82</v>
      </c>
      <c r="I21" s="25"/>
      <c r="J21" s="25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8:26" x14ac:dyDescent="0.15">
      <c r="H22" s="25"/>
      <c r="I22" s="25"/>
      <c r="J22" s="25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8:26" x14ac:dyDescent="0.15">
      <c r="H23" s="25"/>
      <c r="I23" s="25"/>
      <c r="J23" s="25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8:26" x14ac:dyDescent="0.15">
      <c r="H24" s="25"/>
      <c r="I24" s="25"/>
      <c r="J24" s="25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</row>
    <row r="25" spans="8:26" x14ac:dyDescent="0.15">
      <c r="H25" s="25"/>
      <c r="I25" s="25"/>
      <c r="J25" s="25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8:26" x14ac:dyDescent="0.15">
      <c r="H26" s="25"/>
      <c r="I26" s="25"/>
      <c r="J26" s="25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</row>
    <row r="27" spans="8:26" x14ac:dyDescent="0.15">
      <c r="H27" s="25"/>
      <c r="I27" s="25"/>
      <c r="J27" s="25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8:26" x14ac:dyDescent="0.15">
      <c r="H28" s="25"/>
      <c r="I28" s="25"/>
      <c r="J28" s="25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8:26" x14ac:dyDescent="0.15">
      <c r="H29" s="28" t="s">
        <v>83</v>
      </c>
      <c r="I29" s="26" t="s">
        <v>87</v>
      </c>
      <c r="J29" s="26" t="s">
        <v>85</v>
      </c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8:26" x14ac:dyDescent="0.15">
      <c r="H30" s="28"/>
      <c r="I30" s="26" t="s">
        <v>87</v>
      </c>
      <c r="J30" s="26" t="s">
        <v>86</v>
      </c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8:26" x14ac:dyDescent="0.15">
      <c r="H31" s="28"/>
      <c r="I31" s="26" t="s">
        <v>88</v>
      </c>
      <c r="J31" s="26" t="s">
        <v>85</v>
      </c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</row>
    <row r="32" spans="8:26" x14ac:dyDescent="0.15">
      <c r="H32" s="28"/>
      <c r="I32" s="26" t="s">
        <v>88</v>
      </c>
      <c r="J32" s="26" t="s">
        <v>86</v>
      </c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8:26" x14ac:dyDescent="0.15">
      <c r="H33" s="28"/>
      <c r="I33" s="26" t="str">
        <f ca="1">IF(OFFSET($K$4,0,FLOOR((ROW()-33)/2,1))="","",OFFSET($K$4,0,FLOOR((ROW()-33)/2,1)))</f>
        <v/>
      </c>
      <c r="J33" s="26" t="s">
        <v>85</v>
      </c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8:26" x14ac:dyDescent="0.15">
      <c r="H34" s="28"/>
      <c r="I34" s="26" t="str">
        <f t="shared" ref="I34:I64" ca="1" si="0">IF(OFFSET($K$4,0,FLOOR((ROW()-33)/2,1))="","",OFFSET($K$4,0,FLOOR((ROW()-33)/2,1)))</f>
        <v/>
      </c>
      <c r="J34" s="26" t="s">
        <v>86</v>
      </c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</row>
    <row r="35" spans="8:26" x14ac:dyDescent="0.15">
      <c r="H35" s="28"/>
      <c r="I35" s="26" t="str">
        <f t="shared" ca="1" si="0"/>
        <v/>
      </c>
      <c r="J35" s="26" t="s">
        <v>85</v>
      </c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spans="8:26" x14ac:dyDescent="0.15">
      <c r="H36" s="28"/>
      <c r="I36" s="26" t="str">
        <f t="shared" ca="1" si="0"/>
        <v/>
      </c>
      <c r="J36" s="26" t="s">
        <v>86</v>
      </c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spans="8:26" x14ac:dyDescent="0.15">
      <c r="H37" s="28"/>
      <c r="I37" s="26" t="str">
        <f t="shared" ca="1" si="0"/>
        <v/>
      </c>
      <c r="J37" s="26" t="s">
        <v>85</v>
      </c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spans="8:26" x14ac:dyDescent="0.15">
      <c r="H38" s="28"/>
      <c r="I38" s="26" t="str">
        <f t="shared" ca="1" si="0"/>
        <v/>
      </c>
      <c r="J38" s="26" t="s">
        <v>86</v>
      </c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</row>
    <row r="39" spans="8:26" x14ac:dyDescent="0.15">
      <c r="H39" s="28"/>
      <c r="I39" s="26" t="str">
        <f t="shared" ca="1" si="0"/>
        <v/>
      </c>
      <c r="J39" s="26" t="s">
        <v>85</v>
      </c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</row>
    <row r="40" spans="8:26" x14ac:dyDescent="0.15">
      <c r="H40" s="28"/>
      <c r="I40" s="26" t="str">
        <f t="shared" ca="1" si="0"/>
        <v/>
      </c>
      <c r="J40" s="26" t="s">
        <v>86</v>
      </c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</row>
    <row r="41" spans="8:26" x14ac:dyDescent="0.15">
      <c r="H41" s="28"/>
      <c r="I41" s="26" t="str">
        <f t="shared" ca="1" si="0"/>
        <v/>
      </c>
      <c r="J41" s="26" t="s">
        <v>85</v>
      </c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</row>
    <row r="42" spans="8:26" x14ac:dyDescent="0.15">
      <c r="H42" s="28"/>
      <c r="I42" s="26" t="str">
        <f t="shared" ca="1" si="0"/>
        <v/>
      </c>
      <c r="J42" s="26" t="s">
        <v>86</v>
      </c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</row>
    <row r="43" spans="8:26" x14ac:dyDescent="0.15">
      <c r="H43" s="28"/>
      <c r="I43" s="26" t="str">
        <f t="shared" ca="1" si="0"/>
        <v/>
      </c>
      <c r="J43" s="26" t="s">
        <v>85</v>
      </c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</row>
    <row r="44" spans="8:26" x14ac:dyDescent="0.15">
      <c r="H44" s="28"/>
      <c r="I44" s="26" t="str">
        <f t="shared" ca="1" si="0"/>
        <v/>
      </c>
      <c r="J44" s="26" t="s">
        <v>86</v>
      </c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</row>
    <row r="45" spans="8:26" x14ac:dyDescent="0.15">
      <c r="H45" s="28"/>
      <c r="I45" s="26" t="str">
        <f t="shared" ca="1" si="0"/>
        <v/>
      </c>
      <c r="J45" s="26" t="s">
        <v>85</v>
      </c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</row>
    <row r="46" spans="8:26" x14ac:dyDescent="0.15">
      <c r="H46" s="28"/>
      <c r="I46" s="26" t="str">
        <f t="shared" ca="1" si="0"/>
        <v/>
      </c>
      <c r="J46" s="26" t="s">
        <v>86</v>
      </c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</row>
    <row r="47" spans="8:26" x14ac:dyDescent="0.15">
      <c r="H47" s="28"/>
      <c r="I47" s="26" t="str">
        <f t="shared" ca="1" si="0"/>
        <v/>
      </c>
      <c r="J47" s="26" t="s">
        <v>85</v>
      </c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</row>
    <row r="48" spans="8:26" x14ac:dyDescent="0.15">
      <c r="H48" s="28"/>
      <c r="I48" s="26" t="str">
        <f t="shared" ca="1" si="0"/>
        <v/>
      </c>
      <c r="J48" s="26" t="s">
        <v>86</v>
      </c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</row>
    <row r="49" spans="8:26" x14ac:dyDescent="0.15">
      <c r="H49" s="28"/>
      <c r="I49" s="26" t="str">
        <f t="shared" ca="1" si="0"/>
        <v/>
      </c>
      <c r="J49" s="26" t="s">
        <v>85</v>
      </c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</row>
    <row r="50" spans="8:26" x14ac:dyDescent="0.15">
      <c r="H50" s="28"/>
      <c r="I50" s="26" t="str">
        <f t="shared" ca="1" si="0"/>
        <v/>
      </c>
      <c r="J50" s="26" t="s">
        <v>86</v>
      </c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</row>
    <row r="51" spans="8:26" x14ac:dyDescent="0.15">
      <c r="H51" s="28"/>
      <c r="I51" s="26" t="str">
        <f t="shared" ca="1" si="0"/>
        <v/>
      </c>
      <c r="J51" s="26" t="s">
        <v>85</v>
      </c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</row>
    <row r="52" spans="8:26" x14ac:dyDescent="0.15">
      <c r="H52" s="28"/>
      <c r="I52" s="26" t="str">
        <f t="shared" ca="1" si="0"/>
        <v/>
      </c>
      <c r="J52" s="26" t="s">
        <v>86</v>
      </c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</row>
    <row r="53" spans="8:26" x14ac:dyDescent="0.15">
      <c r="H53" s="28"/>
      <c r="I53" s="26" t="str">
        <f t="shared" ca="1" si="0"/>
        <v/>
      </c>
      <c r="J53" s="26" t="s">
        <v>85</v>
      </c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</row>
    <row r="54" spans="8:26" x14ac:dyDescent="0.15">
      <c r="H54" s="28"/>
      <c r="I54" s="26" t="str">
        <f t="shared" ca="1" si="0"/>
        <v/>
      </c>
      <c r="J54" s="26" t="s">
        <v>86</v>
      </c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</row>
    <row r="55" spans="8:26" x14ac:dyDescent="0.15">
      <c r="H55" s="28"/>
      <c r="I55" s="26" t="str">
        <f t="shared" ca="1" si="0"/>
        <v/>
      </c>
      <c r="J55" s="26" t="s">
        <v>85</v>
      </c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</row>
    <row r="56" spans="8:26" x14ac:dyDescent="0.15">
      <c r="H56" s="28"/>
      <c r="I56" s="26" t="str">
        <f t="shared" ca="1" si="0"/>
        <v/>
      </c>
      <c r="J56" s="26" t="s">
        <v>86</v>
      </c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</row>
    <row r="57" spans="8:26" x14ac:dyDescent="0.15">
      <c r="H57" s="28"/>
      <c r="I57" s="26" t="str">
        <f t="shared" ca="1" si="0"/>
        <v/>
      </c>
      <c r="J57" s="26" t="s">
        <v>85</v>
      </c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</row>
    <row r="58" spans="8:26" x14ac:dyDescent="0.15">
      <c r="H58" s="28"/>
      <c r="I58" s="26" t="str">
        <f t="shared" ca="1" si="0"/>
        <v/>
      </c>
      <c r="J58" s="26" t="s">
        <v>86</v>
      </c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</row>
    <row r="59" spans="8:26" x14ac:dyDescent="0.15">
      <c r="H59" s="28"/>
      <c r="I59" s="26" t="str">
        <f t="shared" ca="1" si="0"/>
        <v/>
      </c>
      <c r="J59" s="26" t="s">
        <v>85</v>
      </c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</row>
    <row r="60" spans="8:26" x14ac:dyDescent="0.15">
      <c r="H60" s="28"/>
      <c r="I60" s="26" t="str">
        <f t="shared" ca="1" si="0"/>
        <v/>
      </c>
      <c r="J60" s="26" t="s">
        <v>86</v>
      </c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</row>
    <row r="61" spans="8:26" x14ac:dyDescent="0.15">
      <c r="H61" s="28"/>
      <c r="I61" s="26" t="str">
        <f t="shared" ca="1" si="0"/>
        <v/>
      </c>
      <c r="J61" s="26" t="s">
        <v>85</v>
      </c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</row>
    <row r="62" spans="8:26" x14ac:dyDescent="0.15">
      <c r="H62" s="28"/>
      <c r="I62" s="26" t="str">
        <f t="shared" ca="1" si="0"/>
        <v/>
      </c>
      <c r="J62" s="26" t="s">
        <v>86</v>
      </c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</row>
    <row r="63" spans="8:26" x14ac:dyDescent="0.15">
      <c r="H63" s="28"/>
      <c r="I63" s="26" t="str">
        <f t="shared" ca="1" si="0"/>
        <v/>
      </c>
      <c r="J63" s="26" t="s">
        <v>85</v>
      </c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</row>
    <row r="64" spans="8:26" x14ac:dyDescent="0.15">
      <c r="H64" s="28"/>
      <c r="I64" s="26" t="str">
        <f t="shared" ca="1" si="0"/>
        <v/>
      </c>
      <c r="J64" s="26" t="s">
        <v>86</v>
      </c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</row>
  </sheetData>
  <mergeCells count="12">
    <mergeCell ref="H4:J4"/>
    <mergeCell ref="H18:J18"/>
    <mergeCell ref="H19:J19"/>
    <mergeCell ref="H20:J20"/>
    <mergeCell ref="H21:J28"/>
    <mergeCell ref="H5:J12"/>
    <mergeCell ref="H29:H64"/>
    <mergeCell ref="H13:J13"/>
    <mergeCell ref="H14:J14"/>
    <mergeCell ref="H15:J15"/>
    <mergeCell ref="H16:J16"/>
    <mergeCell ref="H17:J17"/>
  </mergeCells>
  <phoneticPr fontId="2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ommandButton21">
          <controlPr defaultSize="0" autoLine="0" r:id="rId5">
            <anchor moveWithCells="1">
              <from>
                <xdr:col>1</xdr:col>
                <xdr:colOff>485775</xdr:colOff>
                <xdr:row>11</xdr:row>
                <xdr:rowOff>19050</xdr:rowOff>
              </from>
              <to>
                <xdr:col>4</xdr:col>
                <xdr:colOff>590550</xdr:colOff>
                <xdr:row>13</xdr:row>
                <xdr:rowOff>38100</xdr:rowOff>
              </to>
            </anchor>
          </controlPr>
        </control>
      </mc:Choice>
      <mc:Fallback>
        <control shapeId="1025" r:id="rId4" name="CommandButton2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貨物基準</vt:lpstr>
      <vt:lpstr>旅客・郵便基準</vt:lpstr>
      <vt:lpstr>DarCreatorForVehicle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江口健太郎</dc:creator>
  <cp:lastModifiedBy>江口健太郎</cp:lastModifiedBy>
  <dcterms:created xsi:type="dcterms:W3CDTF">2015-02-23T03:44:25Z</dcterms:created>
  <dcterms:modified xsi:type="dcterms:W3CDTF">2015-02-25T03:33:44Z</dcterms:modified>
</cp:coreProperties>
</file>